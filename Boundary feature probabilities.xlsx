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t\Google Drive\Studier\Master\Master Thesis\Coding\conditional-LSTM-language-model\"/>
    </mc:Choice>
  </mc:AlternateContent>
  <xr:revisionPtr revIDLastSave="0" documentId="13_ncr:1_{4FDF00F1-3EB1-4645-B595-9304AC318E6B}" xr6:coauthVersionLast="45" xr6:coauthVersionMax="45" xr10:uidLastSave="{00000000-0000-0000-0000-000000000000}"/>
  <bookViews>
    <workbookView xWindow="-108" yWindow="-108" windowWidth="23256" windowHeight="12576" xr2:uid="{E1528A56-2C59-4AB7-8ACB-453F84E2A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3" i="1" l="1"/>
  <c r="G3" i="1"/>
  <c r="E3" i="1"/>
  <c r="F3" i="1"/>
  <c r="D3" i="1"/>
  <c r="C3" i="1"/>
  <c r="C13" i="1"/>
  <c r="F9" i="1" l="1"/>
  <c r="E9" i="1"/>
  <c r="C9" i="1"/>
  <c r="F8" i="1"/>
  <c r="E8" i="1"/>
  <c r="C8" i="1"/>
  <c r="F6" i="1"/>
  <c r="E6" i="1"/>
  <c r="D6" i="1"/>
  <c r="C6" i="1"/>
  <c r="C5" i="1"/>
  <c r="F5" i="1"/>
  <c r="E5" i="1"/>
  <c r="D5" i="1"/>
  <c r="G4" i="1"/>
  <c r="G7" i="1"/>
  <c r="G9" i="1"/>
  <c r="F4" i="1"/>
  <c r="E4" i="1"/>
  <c r="D4" i="1"/>
  <c r="C4" i="1"/>
  <c r="D2" i="1"/>
  <c r="C2" i="1"/>
  <c r="G8" i="1" l="1"/>
  <c r="G6" i="1"/>
  <c r="G5" i="1"/>
  <c r="G2" i="1"/>
</calcChain>
</file>

<file path=xl/sharedStrings.xml><?xml version="1.0" encoding="utf-8"?>
<sst xmlns="http://schemas.openxmlformats.org/spreadsheetml/2006/main" count="16" uniqueCount="14">
  <si>
    <t>Note numbers rests</t>
  </si>
  <si>
    <t>MIDI ticks</t>
  </si>
  <si>
    <t>Prob BB</t>
  </si>
  <si>
    <t>Prob BL</t>
  </si>
  <si>
    <t>Prob WB</t>
  </si>
  <si>
    <t>Prob None</t>
  </si>
  <si>
    <t>481 - 720</t>
  </si>
  <si>
    <t>0 - 480</t>
  </si>
  <si>
    <t>720 - 1920</t>
  </si>
  <si>
    <t>1921 - 3840</t>
  </si>
  <si>
    <t>3840-</t>
  </si>
  <si>
    <t>Tot prob</t>
  </si>
  <si>
    <t>0.5</t>
  </si>
  <si>
    <t>~240-600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</si>
</sst>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6689-BB7B-4ED4-A1F8-C599D3E9BD84}">
  <dimension ref="A1:G47"/>
  <sheetViews>
    <sheetView tabSelected="1" workbookViewId="0">
      <selection activeCell="D7" sqref="D7"/>
    </sheetView>
  </sheetViews>
  <sheetFormatPr defaultRowHeight="15" x14ac:dyDescent="0.25"/>
  <cols>
    <col min="1" max="1" width="18.7109375" bestFit="1" customWidth="1"/>
    <col min="2" max="2" width="10.85546875" bestFit="1" customWidth="1"/>
    <col min="3" max="6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</row>
    <row r="2" spans="1:7" x14ac:dyDescent="0.25">
      <c r="A2" s="4">
        <v>0</v>
      </c>
      <c r="B2" t="s">
        <v>7</v>
      </c>
      <c r="C2">
        <f>1.5/30</f>
        <v>0.05</v>
      </c>
      <c r="D2">
        <f>7.5/30</f>
        <v>0.25</v>
      </c>
      <c r="E2">
        <v>0.55000000000000004</v>
      </c>
      <c r="F2">
        <v>0.15</v>
      </c>
      <c r="G2">
        <f>SUM(C2:F2)</f>
        <v>1</v>
      </c>
    </row>
    <row r="3" spans="1:7" x14ac:dyDescent="0.25">
      <c r="A3" s="4" t="s">
        <v>12</v>
      </c>
      <c r="B3" t="s">
        <v>13</v>
      </c>
      <c r="C3">
        <f>(C2+C4)/2</f>
        <v>0.10833333333333334</v>
      </c>
      <c r="D3">
        <f>(D2+D4)/2</f>
        <v>0.34166666666666667</v>
      </c>
      <c r="E3">
        <f t="shared" ref="E3:F3" si="0">(E2+E4)/2</f>
        <v>0.45833333333333337</v>
      </c>
      <c r="F3">
        <f t="shared" si="0"/>
        <v>9.6666666666666665E-2</v>
      </c>
      <c r="G3">
        <f>SUM(C3:F3)</f>
        <v>1.0050000000000001</v>
      </c>
    </row>
    <row r="4" spans="1:7" x14ac:dyDescent="0.25">
      <c r="A4" s="4">
        <v>1</v>
      </c>
      <c r="B4" t="s">
        <v>6</v>
      </c>
      <c r="C4">
        <f>5/30</f>
        <v>0.16666666666666666</v>
      </c>
      <c r="D4">
        <f>13/30</f>
        <v>0.43333333333333335</v>
      </c>
      <c r="E4" s="3">
        <f>11/30</f>
        <v>0.36666666666666664</v>
      </c>
      <c r="F4">
        <f>1.3/30</f>
        <v>4.3333333333333335E-2</v>
      </c>
      <c r="G4">
        <f t="shared" ref="G4:G9" si="1">SUM(C4:F4)</f>
        <v>1.0099999999999998</v>
      </c>
    </row>
    <row r="5" spans="1:7" x14ac:dyDescent="0.25">
      <c r="A5" s="4">
        <v>2</v>
      </c>
      <c r="B5" t="s">
        <v>8</v>
      </c>
      <c r="C5">
        <f>7.5/30</f>
        <v>0.25</v>
      </c>
      <c r="D5">
        <f>12/30</f>
        <v>0.4</v>
      </c>
      <c r="E5">
        <f>9.8/30</f>
        <v>0.32666666666666672</v>
      </c>
      <c r="F5">
        <f>0.9/30</f>
        <v>3.0000000000000002E-2</v>
      </c>
      <c r="G5">
        <f t="shared" si="1"/>
        <v>1.0066666666666668</v>
      </c>
    </row>
    <row r="6" spans="1:7" x14ac:dyDescent="0.25">
      <c r="A6" s="4">
        <v>4</v>
      </c>
      <c r="B6" t="s">
        <v>9</v>
      </c>
      <c r="C6">
        <f>13.8/30</f>
        <v>0.46</v>
      </c>
      <c r="D6">
        <f>10/30</f>
        <v>0.33333333333333331</v>
      </c>
      <c r="E6">
        <f>5.2/30</f>
        <v>0.17333333333333334</v>
      </c>
      <c r="F6">
        <f>1/30</f>
        <v>3.3333333333333333E-2</v>
      </c>
      <c r="G6">
        <f t="shared" si="1"/>
        <v>1</v>
      </c>
    </row>
    <row r="7" spans="1:7" x14ac:dyDescent="0.25">
      <c r="A7" s="4">
        <v>8</v>
      </c>
      <c r="B7" t="s">
        <v>10</v>
      </c>
      <c r="C7">
        <v>0.8</v>
      </c>
      <c r="D7">
        <v>7.4999999999999997E-2</v>
      </c>
      <c r="E7">
        <v>7.4999999999999997E-2</v>
      </c>
      <c r="F7">
        <v>0.05</v>
      </c>
      <c r="G7">
        <f t="shared" si="1"/>
        <v>1</v>
      </c>
    </row>
    <row r="8" spans="1:7" x14ac:dyDescent="0.25">
      <c r="A8" s="4">
        <v>16</v>
      </c>
      <c r="B8" t="s">
        <v>10</v>
      </c>
      <c r="C8">
        <f>26/30</f>
        <v>0.8666666666666667</v>
      </c>
      <c r="D8">
        <v>0.06</v>
      </c>
      <c r="E8">
        <f>1.5/30</f>
        <v>0.05</v>
      </c>
      <c r="F8">
        <f>1/30</f>
        <v>3.3333333333333333E-2</v>
      </c>
      <c r="G8">
        <f t="shared" si="1"/>
        <v>1.0100000000000002</v>
      </c>
    </row>
    <row r="9" spans="1:7" x14ac:dyDescent="0.25">
      <c r="A9" s="4">
        <v>32</v>
      </c>
      <c r="B9" t="s">
        <v>10</v>
      </c>
      <c r="C9">
        <f>26/30</f>
        <v>0.8666666666666667</v>
      </c>
      <c r="D9">
        <v>0.06</v>
      </c>
      <c r="E9">
        <f>1.5/30</f>
        <v>0.05</v>
      </c>
      <c r="F9">
        <f>1/30</f>
        <v>3.3333333333333333E-2</v>
      </c>
      <c r="G9">
        <f t="shared" si="1"/>
        <v>1.0100000000000002</v>
      </c>
    </row>
    <row r="10" spans="1:7" x14ac:dyDescent="0.25">
      <c r="A10" s="4"/>
    </row>
    <row r="13" spans="1:7" x14ac:dyDescent="0.25">
      <c r="C13">
        <f>(480+720)/2</f>
        <v>600</v>
      </c>
      <c r="E13">
        <f>3/40</f>
        <v>7.4999999999999997E-2</v>
      </c>
    </row>
    <row r="14" spans="1:7" x14ac:dyDescent="0.25">
      <c r="A14" s="1"/>
      <c r="B14" s="1"/>
    </row>
    <row r="15" spans="1:7" x14ac:dyDescent="0.25">
      <c r="A15" s="2"/>
    </row>
    <row r="16" spans="1:7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Tällberg</dc:creator>
  <cp:lastModifiedBy>Erik Tällberg</cp:lastModifiedBy>
  <dcterms:created xsi:type="dcterms:W3CDTF">2020-04-09T06:58:31Z</dcterms:created>
  <dcterms:modified xsi:type="dcterms:W3CDTF">2020-04-14T13:40:37Z</dcterms:modified>
</cp:coreProperties>
</file>